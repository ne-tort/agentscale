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workbookPr/>
  <sheets>
    <sheet state="visible" name="КП" sheetId="2" ns1:id="rId6"/>
  </sheets>
  <definedNames/>
  <calcPr/>
</workbook>
</file>

<file path=xl/sharedStrings.xml><?xml version="1.0" encoding="utf-8"?>
<sst xmlns="http://schemas.openxmlformats.org/spreadsheetml/2006/main" count="75" uniqueCount="67">
  <si>
    <r>
      <rPr>
        <rFont val="Roboto"/>
        <b/>
        <color theme="1"/>
        <sz val="11.0"/>
      </rPr>
      <t xml:space="preserve">СПЕЦИФИКАЦИЯ № </t>
    </r>
    <r>
      <rPr>
        <rFont val="Roboto"/>
        <b/>
        <color rgb="FFFF0000"/>
        <sz val="11.0"/>
      </rPr>
      <t>1</t>
    </r>
  </si>
  <si>
    <t>Общее кол-во</t>
  </si>
  <si>
    <t>Вход</t>
  </si>
  <si>
    <t>Срок отсрочки</t>
  </si>
  <si>
    <t>Сумма кредитования</t>
  </si>
  <si>
    <t>НДС</t>
  </si>
  <si>
    <t>ИТОГО</t>
  </si>
  <si>
    <t>Приложение № 1</t>
  </si>
  <si>
    <r>
      <rPr>
        <rFont val="Roboto"/>
        <color theme="1"/>
      </rPr>
      <t xml:space="preserve">к Договору поставки № </t>
    </r>
    <r>
      <rPr>
        <rFont val="Roboto"/>
        <color rgb="FFFF0000"/>
      </rPr>
      <t>00001 от "1" ноября 2025 г.</t>
    </r>
  </si>
  <si>
    <r>
      <rPr>
        <rFont val="Roboto"/>
        <b/>
        <color rgb="FF339966"/>
        <sz val="13.0"/>
      </rPr>
      <t>ООО "ИТ Взлёт"</t>
    </r>
    <r>
      <rPr>
        <rFont val="Roboto"/>
        <b val="0"/>
        <color rgb="FF000000"/>
        <sz val="13.0"/>
      </rPr>
      <t xml:space="preserve">, ИНН </t>
    </r>
    <r>
      <rPr>
        <rFont val="Roboto"/>
        <b/>
        <color rgb="FF339966"/>
        <sz val="13.0"/>
      </rPr>
      <t xml:space="preserve">7716960580
</t>
    </r>
    <r>
      <rPr>
        <rFont val="Roboto"/>
        <b val="0"/>
        <color rgb="FF000000"/>
        <sz val="13.0"/>
      </rPr>
      <t xml:space="preserve">КПП </t>
    </r>
    <r>
      <rPr>
        <rFont val="Roboto"/>
        <b/>
        <color rgb="FF339966"/>
        <sz val="13.0"/>
      </rPr>
      <t>771501001</t>
    </r>
    <r>
      <rPr>
        <rFont val="Roboto"/>
        <b val="0"/>
        <color rgb="FF000000"/>
        <sz val="13.0"/>
      </rPr>
      <t>, ОГРН</t>
    </r>
    <r>
      <rPr>
        <rFont val="Roboto"/>
        <b/>
        <color rgb="FF339966"/>
        <sz val="13.0"/>
      </rPr>
      <t xml:space="preserve"> 1217700471735</t>
    </r>
  </si>
  <si>
    <t>127282, г. Москва, Чермянский проезд, д. 7</t>
  </si>
  <si>
    <t>г. Москва</t>
  </si>
  <si>
    <t>Без НДС</t>
  </si>
  <si>
    <t>Включая НДС</t>
  </si>
  <si>
    <t>Маржа</t>
  </si>
  <si>
    <t>info@itvzlet.ru</t>
  </si>
  <si>
    <r>
      <rPr>
        <rFont val="Roboto"/>
        <color rgb="FFFF0000"/>
      </rPr>
      <t>ООО «Ромашка»</t>
    </r>
    <r>
      <rPr>
        <rFont val="Roboto"/>
        <color rgb="FFFF0000"/>
      </rPr>
      <t xml:space="preserve">, </t>
    </r>
    <r>
      <rPr>
        <rFont val="Roboto"/>
        <color theme="1"/>
      </rPr>
      <t xml:space="preserve">именуемое в дальнейшем «Покупатель», в лице </t>
    </r>
    <r>
      <rPr>
        <rFont val="Roboto"/>
        <color rgb="FFFF0000"/>
      </rPr>
      <t>Генерального директора Иванонова И.И.</t>
    </r>
    <r>
      <rPr>
        <rFont val="Roboto"/>
        <color theme="1"/>
      </rPr>
      <t>, действующего на основании</t>
    </r>
    <r>
      <rPr>
        <rFont val="Roboto"/>
        <color rgb="FFFF0000"/>
      </rPr>
      <t xml:space="preserve"> </t>
    </r>
    <r>
      <rPr>
        <rFont val="Roboto"/>
        <color rgb="FFFF0000"/>
      </rPr>
      <t>Устава</t>
    </r>
    <r>
      <rPr>
        <rFont val="Roboto"/>
        <color theme="1"/>
      </rPr>
      <t>, с одной стороны, и ООО «ИТ Взлёт» именуемое в дальнейшем «Поставщик», в лице Генерального директора Троцкого А.В., действующего на основании Устава, с другой стороны, заключили настоящую Спецификацию о нижеследующем:</t>
    </r>
  </si>
  <si>
    <t>Коммерческое предложение</t>
  </si>
  <si>
    <t>1. Наименование, количество и стоимость поставляемого Товара:</t>
  </si>
  <si>
    <t>Дата</t>
  </si>
  <si>
    <t>№</t>
  </si>
  <si>
    <t>Наименование Товара</t>
  </si>
  <si>
    <t>Количество, ед.</t>
  </si>
  <si>
    <t>Цена за Товар
(с НДС 22%), руб.</t>
  </si>
  <si>
    <t>Стоимость за Товар
 (с НДС 22%), руб.</t>
  </si>
  <si>
    <t>Сроки поставки</t>
  </si>
  <si>
    <t>Наименование товара</t>
  </si>
  <si>
    <t>Кол-во</t>
  </si>
  <si>
    <t>Ед. изм.</t>
  </si>
  <si>
    <t>Цена за ед.</t>
  </si>
  <si>
    <t>Сумма</t>
  </si>
  <si>
    <t>Срок поставки</t>
  </si>
  <si>
    <t>шт.</t>
  </si>
  <si>
    <t>Партномер</t>
  </si>
  <si>
    <t>10-12 недель</t>
  </si>
  <si>
    <t>Наименование</t>
  </si>
  <si>
    <t>Вход с НДС</t>
  </si>
  <si>
    <t>Сумма входа с НДС</t>
  </si>
  <si>
    <t>Наценка</t>
  </si>
  <si>
    <t>Цена с маржой за ед., без НДС</t>
  </si>
  <si>
    <t>Цена с маржой за ед., с НДС</t>
  </si>
  <si>
    <t>Выручка, без НДС</t>
  </si>
  <si>
    <t>Выручка, с НДС</t>
  </si>
  <si>
    <t>Маржа за ед.</t>
  </si>
  <si>
    <t>Маржа за сумму</t>
  </si>
  <si>
    <t>Комментарий</t>
  </si>
  <si>
    <t>Итого, в т.ч. НДС 22%:</t>
  </si>
  <si>
    <t>Без НДС:</t>
  </si>
  <si>
    <r>
      <rPr>
        <rFont val="Roboto"/>
        <color theme="1"/>
      </rPr>
      <t xml:space="preserve">2. Общая цена Товара по настоящей Спецификации составляет </t>
    </r>
    <r>
      <rPr>
        <rFont val="Roboto"/>
        <color rgb="FFFF0000"/>
      </rPr>
      <t>100 000</t>
    </r>
    <r>
      <rPr>
        <rFont val="Roboto"/>
        <color theme="1"/>
      </rPr>
      <t xml:space="preserve"> (</t>
    </r>
    <r>
      <rPr>
        <rFont val="Roboto"/>
        <color rgb="FFFF0000"/>
      </rPr>
      <t>сто тысяч</t>
    </r>
    <r>
      <rPr>
        <rFont val="Roboto"/>
        <color theme="1"/>
      </rPr>
      <t xml:space="preserve">) руб. </t>
    </r>
    <r>
      <rPr>
        <rFont val="Roboto"/>
        <color rgb="FFFF0000"/>
      </rPr>
      <t>00</t>
    </r>
    <r>
      <rPr>
        <rFont val="Roboto"/>
        <color theme="1"/>
      </rPr>
      <t xml:space="preserve"> коп., в том числе НДС 22% – </t>
    </r>
    <r>
      <rPr>
        <rFont val="Roboto"/>
        <color rgb="FFFF0000"/>
      </rPr>
      <t>20 000</t>
    </r>
    <r>
      <rPr>
        <rFont val="Roboto"/>
        <color theme="1"/>
      </rPr>
      <t xml:space="preserve"> (</t>
    </r>
    <r>
      <rPr>
        <rFont val="Roboto"/>
        <color rgb="FFFF0000"/>
      </rPr>
      <t>двадцать тысяч</t>
    </r>
    <r>
      <rPr>
        <rFont val="Roboto"/>
        <color theme="1"/>
      </rPr>
      <t xml:space="preserve">) руб. </t>
    </r>
    <r>
      <rPr>
        <rFont val="Roboto"/>
        <color rgb="FFFF0000"/>
      </rPr>
      <t>00</t>
    </r>
    <r>
      <rPr>
        <rFont val="Roboto"/>
        <color theme="1"/>
      </rPr>
      <t xml:space="preserve"> коп.</t>
    </r>
  </si>
  <si>
    <t>3. Стоимость настоящей Спецификации является фиксированной и не может быть изменена в одностороннем порядке с момента ее подписания сторонами, включает в себя все расходы Поставщика, в том числе, но не ограничиваясь, упаковку, маркировку, страхование, уплату таможенных пошлин и платежей, таможенную очистку, доставку.</t>
  </si>
  <si>
    <t>НДС 22%:</t>
  </si>
  <si>
    <r>
      <rPr>
        <rFont val="Roboto"/>
        <color theme="1"/>
      </rPr>
      <t xml:space="preserve">4. Оплата Товара производится Покупателем на расчетный счет Поставщика не позднее </t>
    </r>
    <r>
      <rPr>
        <rFont val="Roboto"/>
        <color rgb="FFFF0000"/>
      </rPr>
      <t>30 (тридцати) рабочих дней</t>
    </r>
    <r>
      <rPr>
        <rFont val="Roboto"/>
        <color theme="1"/>
      </rPr>
      <t xml:space="preserve"> с момента получения товара.</t>
    </r>
  </si>
  <si>
    <r>
      <rPr>
        <rFont val="Roboto"/>
        <color theme="1"/>
      </rPr>
      <t xml:space="preserve">5. Срок поставки: не более </t>
    </r>
    <r>
      <rPr>
        <rFont val="Roboto"/>
        <color rgb="FFFF0000"/>
      </rPr>
      <t>7 (семи) рабочих дней</t>
    </r>
    <r>
      <rPr>
        <rFont val="Roboto"/>
        <color theme="1"/>
      </rPr>
      <t xml:space="preserve"> со дня подписания Спецификации.</t>
    </r>
  </si>
  <si>
    <r>
      <rPr>
        <rFont val="Roboto"/>
        <color theme="1"/>
      </rPr>
      <t xml:space="preserve">6. Адрес поставки: </t>
    </r>
    <r>
      <rPr>
        <rFont val="Roboto"/>
        <color rgb="FFFF0000"/>
      </rPr>
      <t>125167, г. Москва, Ленинградский пр., д. 37, пом. 21/10</t>
    </r>
    <r>
      <rPr>
        <rFont val="Roboto"/>
        <color theme="1"/>
      </rPr>
      <t>.</t>
    </r>
  </si>
  <si>
    <t>7. Настоящая Спецификация вступает в юридическую силу со дня ее подписания сторонами.</t>
  </si>
  <si>
    <t>Итого, в руб., с НДС:</t>
  </si>
  <si>
    <t>*</t>
  </si>
  <si>
    <t>Подписи Сторон:</t>
  </si>
  <si>
    <t>Условия доставки:</t>
  </si>
  <si>
    <r>
      <rPr>
        <rFont val="Roboto"/>
        <color theme="1"/>
      </rPr>
      <t xml:space="preserve">Покупатель: </t>
    </r>
    <r>
      <rPr>
        <rFont val="Roboto"/>
        <color rgb="FFFF0000"/>
      </rPr>
      <t xml:space="preserve">ООО «Ромашка»
</t>
    </r>
    <r>
      <rPr>
        <rFont val="Roboto"/>
        <color theme="1"/>
      </rPr>
      <t xml:space="preserve">
 _______________________ / </t>
    </r>
    <r>
      <rPr>
        <rFont val="Roboto"/>
        <color rgb="FFFF0000"/>
      </rPr>
      <t>Иванов И.И.</t>
    </r>
    <r>
      <rPr>
        <rFont val="Roboto"/>
        <color theme="1"/>
      </rPr>
      <t xml:space="preserve"> /
 М.П.</t>
    </r>
  </si>
  <si>
    <t>до</t>
  </si>
  <si>
    <t>Поставщик: ООО «ИТ Взлет»
 _______________________ / Троцкий А.В. /
 М.П.</t>
  </si>
  <si>
    <t>склада Заказчика</t>
  </si>
  <si>
    <t>Срок действия КП:</t>
  </si>
  <si>
    <t>*Цены действительны при покупке всего перечня товаров</t>
  </si>
  <si>
    <t>Генеральный директор</t>
  </si>
  <si>
    <t>Оленин В. 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</si>
</sst>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 года"/>
    <numFmt numFmtId="165" formatCode="#,##0.00;(#,##0.00)"/>
    <numFmt numFmtId="166" formatCode="dd.mm.yyyy"/>
  </numFmts>
  <fonts count="20">
    <font>
      <sz val="10.0"/>
      <color rgb="FF000000"/>
      <name val="Arial"/>
      <scheme val="minor"/>
    </font>
    <font>
      <sz val="11.0"/>
      <color theme="1"/>
      <name val="Roboto"/>
    </font>
    <font>
      <b/>
      <sz val="11.0"/>
      <color theme="1"/>
      <name val="Roboto"/>
    </font>
    <font>
      <color theme="1"/>
      <name val="Arial"/>
    </font>
    <font>
      <sz val="11.0"/>
      <color rgb="FF000000"/>
      <name val="Roboto"/>
    </font>
    <font>
      <b/>
      <sz val="12.0"/>
      <color theme="1"/>
      <name val="Roboto"/>
    </font>
    <font>
      <sz val="13.0"/>
      <color theme="1"/>
      <name val="Roboto"/>
    </font>
    <font>
      <b/>
      <sz val="11.0"/>
      <color rgb="FF000000"/>
      <name val="Roboto"/>
    </font>
    <font>
      <b/>
      <sz val="13.0"/>
      <color rgb="FF339966"/>
      <name val="Roboto"/>
    </font>
    <font>
      <color theme="1"/>
      <name val="Roboto"/>
    </font>
    <font>
      <sz val="11.0"/>
      <color theme="1"/>
      <name val="Arial"/>
      <scheme val="minor"/>
    </font>
    <font>
      <sz val="13.0"/>
      <color rgb="FF000000"/>
      <name val="Roboto"/>
    </font>
    <font>
      <b/>
      <sz val="14.0"/>
      <color rgb="FF339966"/>
      <name val="Roboto"/>
    </font>
    <font>
      <sz val="14.0"/>
      <color rgb="FF000000"/>
      <name val="Roboto"/>
    </font>
    <font>
      <b/>
      <sz val="14.0"/>
      <color rgb="FF000000"/>
      <name val="Roboto"/>
    </font>
    <font>
      <b/>
      <sz val="11.0"/>
      <color theme="1"/>
      <name val="Arial"/>
    </font>
    <font>
      <color rgb="FF000000"/>
      <name val="Roboto"/>
    </font>
    <font>
      <b/>
      <sz val="11.0"/>
      <color rgb="FF375623"/>
      <name val="Roboto"/>
    </font>
    <font/>
    <font>
      <sz val="11.0"/>
      <color rgb="FF000000"/>
      <name val="&quot;Roboto&quot;"/>
    </font>
  </fonts>
  <fills count="1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CCFF"/>
        <bgColor rgb="FFFFCCFF"/>
      </patternFill>
    </fill>
    <fill>
      <patternFill patternType="solid">
        <fgColor rgb="FFF8CBAD"/>
        <bgColor rgb="FFF8CBA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right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0" fontId="9" numFmtId="0" xfId="0" applyAlignment="1" applyFont="1">
      <alignment horizontal="right"/>
    </xf>
    <xf borderId="0" fillId="0" fontId="7" numFmtId="0" xfId="0" applyAlignment="1" applyFont="1">
      <alignment horizontal="right" readingOrder="0" shrinkToFit="0" vertical="center" wrapText="1"/>
    </xf>
    <xf borderId="0" fillId="0" fontId="10" numFmtId="0" xfId="0" applyFont="1"/>
    <xf borderId="0" fillId="0" fontId="3" numFmtId="164" xfId="0" applyAlignment="1" applyFont="1" applyNumberFormat="1">
      <alignment horizontal="right"/>
    </xf>
    <xf borderId="0" fillId="0" fontId="11" numFmtId="0" xfId="0" applyAlignment="1" applyFont="1">
      <alignment horizontal="right" readingOrder="0" shrinkToFit="0" vertical="center" wrapText="1"/>
    </xf>
    <xf borderId="0" fillId="2" fontId="7" numFmtId="9" xfId="0" applyAlignment="1" applyFont="1" applyNumberFormat="1">
      <alignment horizontal="center" readingOrder="0" shrinkToFit="0" vertical="center" wrapText="1"/>
    </xf>
    <xf borderId="0" fillId="0" fontId="3" numFmtId="0" xfId="0" applyFont="1"/>
    <xf borderId="0" fillId="0" fontId="6" numFmtId="0" xfId="0" applyFont="1"/>
    <xf borderId="0" fillId="0" fontId="6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right" readingOrder="0" shrinkToFit="0" vertical="center" wrapText="1"/>
    </xf>
    <xf borderId="0" fillId="0" fontId="9" numFmtId="164" xfId="0" applyAlignment="1" applyFont="1" applyNumberFormat="1">
      <alignment horizontal="right" shrinkToFit="0" vertical="center" wrapText="0"/>
    </xf>
    <xf borderId="0" fillId="0" fontId="1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9" numFmtId="0" xfId="0" applyFont="1"/>
    <xf borderId="0" fillId="4" fontId="7" numFmtId="165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5" fontId="15" numFmtId="3" xfId="0" applyAlignment="1" applyFill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right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2" fontId="17" numFmtId="0" xfId="0" applyAlignment="1" applyBorder="1" applyFont="1">
      <alignment horizontal="center" readingOrder="0" shrinkToFit="0" vertical="center" wrapText="1"/>
    </xf>
    <xf borderId="0" fillId="6" fontId="15" numFmtId="165" xfId="0" applyAlignment="1" applyFill="1" applyFont="1" applyNumberFormat="1">
      <alignment horizontal="center" vertical="center"/>
    </xf>
    <xf borderId="2" fillId="2" fontId="17" numFmtId="0" xfId="0" applyAlignment="1" applyBorder="1" applyFont="1">
      <alignment horizontal="center" readingOrder="0" shrinkToFit="0" vertical="center" wrapText="1"/>
    </xf>
    <xf borderId="3" fillId="0" fontId="18" numFmtId="0" xfId="0" applyBorder="1" applyFont="1"/>
    <xf borderId="1" fillId="0" fontId="4" numFmtId="49" xfId="0" applyAlignment="1" applyBorder="1" applyFont="1" applyNumberFormat="1">
      <alignment horizontal="left" readingOrder="0" shrinkToFit="0" vertical="center" wrapText="1"/>
    </xf>
    <xf borderId="0" fillId="7" fontId="7" numFmtId="165" xfId="0" applyAlignment="1" applyFill="1" applyFont="1" applyNumberFormat="1">
      <alignment horizontal="center" readingOrder="0" shrinkToFit="0" vertical="center" wrapText="1"/>
    </xf>
    <xf borderId="4" fillId="2" fontId="17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vertical="center"/>
    </xf>
    <xf borderId="6" fillId="0" fontId="4" numFmtId="49" xfId="0" applyAlignment="1" applyBorder="1" applyFont="1" applyNumberFormat="1">
      <alignment horizontal="left" readingOrder="0" shrinkToFit="0" vertical="center" wrapText="1"/>
    </xf>
    <xf borderId="7" fillId="0" fontId="18" numFmtId="0" xfId="0" applyBorder="1" applyFont="1"/>
    <xf borderId="8" fillId="0" fontId="18" numFmtId="0" xfId="0" applyBorder="1" applyFont="1"/>
    <xf borderId="0" fillId="8" fontId="7" numFmtId="165" xfId="0" applyAlignment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0" fillId="9" fontId="2" numFmtId="165" xfId="0" applyAlignment="1" applyFill="1" applyFont="1" applyNumberFormat="1">
      <alignment horizontal="center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2" numFmtId="10" xfId="0" applyAlignment="1" applyFont="1" applyNumberFormat="1">
      <alignment horizontal="center" shrinkToFit="0" vertical="bottom" wrapText="1"/>
    </xf>
    <xf borderId="1" fillId="0" fontId="4" numFmtId="165" xfId="0" applyAlignment="1" applyBorder="1" applyFont="1" applyNumberFormat="1">
      <alignment horizontal="right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10" fontId="1" numFmtId="165" xfId="0" applyAlignment="1" applyFill="1" applyFont="1" applyNumberFormat="1">
      <alignment horizontal="right" readingOrder="0" shrinkToFit="0" vertical="center" wrapText="1"/>
    </xf>
    <xf borderId="0" fillId="11" fontId="4" numFmtId="9" xfId="0" applyAlignment="1" applyFill="1" applyFont="1" applyNumberFormat="1">
      <alignment horizontal="center" readingOrder="0" shrinkToFit="0" vertical="center" wrapText="1"/>
    </xf>
    <xf borderId="0" fillId="4" fontId="4" numFmtId="165" xfId="0" applyAlignment="1" applyFont="1" applyNumberFormat="1">
      <alignment horizontal="right" readingOrder="0" shrinkToFit="0" vertical="center" wrapText="1"/>
    </xf>
    <xf borderId="0" fillId="9" fontId="4" numFmtId="9" xfId="0" applyAlignment="1" applyFont="1" applyNumberFormat="1">
      <alignment horizontal="center" readingOrder="0" shrinkToFit="0" vertical="center" wrapText="1"/>
    </xf>
    <xf borderId="10" fillId="0" fontId="18" numFmtId="0" xfId="0" applyBorder="1" applyFont="1"/>
    <xf borderId="0" fillId="12" fontId="1" numFmtId="165" xfId="0" applyAlignment="1" applyFill="1" applyFont="1" applyNumberFormat="1">
      <alignment horizontal="right" shrinkToFit="0" vertical="center" wrapText="1"/>
    </xf>
    <xf borderId="0" fillId="13" fontId="4" numFmtId="165" xfId="0" applyAlignment="1" applyFill="1" applyFont="1" applyNumberFormat="1">
      <alignment horizontal="right" readingOrder="0" shrinkToFit="0" vertical="center" wrapText="1"/>
    </xf>
    <xf borderId="0" fillId="7" fontId="4" numFmtId="165" xfId="0" applyAlignment="1" applyFont="1" applyNumberFormat="1">
      <alignment horizontal="right" readingOrder="0" shrinkToFit="0" vertical="center" wrapText="1"/>
    </xf>
    <xf borderId="0" fillId="8" fontId="4" numFmtId="165" xfId="0" applyAlignment="1" applyFont="1" applyNumberFormat="1">
      <alignment horizontal="right" readingOrder="0" shrinkToFit="0" vertical="center" wrapText="1"/>
    </xf>
    <xf borderId="0" fillId="14" fontId="4" numFmtId="165" xfId="0" applyAlignment="1" applyFill="1" applyFont="1" applyNumberFormat="1">
      <alignment horizontal="right" readingOrder="0" shrinkToFit="0" vertical="center" wrapText="1"/>
    </xf>
    <xf borderId="0" fillId="9" fontId="4" numFmtId="165" xfId="0" applyAlignment="1" applyFont="1" applyNumberFormat="1">
      <alignment horizontal="righ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0" fontId="18" numFmtId="0" xfId="0" applyBorder="1" applyFont="1"/>
    <xf borderId="0" fillId="0" fontId="4" numFmtId="49" xfId="0" applyAlignment="1" applyFont="1" applyNumberForma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0" fillId="10" fontId="4" numFmtId="165" xfId="0" applyAlignment="1" applyFont="1" applyNumberFormat="1">
      <alignment horizontal="right" readingOrder="0" shrinkToFit="0" vertical="center" wrapText="1"/>
    </xf>
    <xf borderId="2" fillId="15" fontId="4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15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15" fontId="4" numFmtId="0" xfId="0" applyAlignment="1" applyBorder="1" applyFont="1">
      <alignment horizontal="center" shrinkToFit="0" vertical="center" wrapText="1"/>
    </xf>
    <xf borderId="0" fillId="0" fontId="9" numFmtId="0" xfId="0" applyFont="1"/>
    <xf borderId="11" fillId="0" fontId="7" numFmtId="0" xfId="0" applyAlignment="1" applyBorder="1" applyFont="1">
      <alignment horizontal="right" readingOrder="0" shrinkToFit="0" vertical="center" wrapText="0"/>
    </xf>
    <xf borderId="1" fillId="0" fontId="7" numFmtId="165" xfId="0" applyAlignment="1" applyBorder="1" applyFont="1" applyNumberFormat="1">
      <alignment horizontal="center" readingOrder="0" vertical="center"/>
    </xf>
    <xf borderId="0" fillId="0" fontId="7" numFmtId="165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2" numFmtId="165" xfId="0" applyAlignment="1" applyFont="1" applyNumberFormat="1">
      <alignment horizontal="right" shrinkToFit="0" wrapText="1"/>
    </xf>
    <xf borderId="0" fillId="16" fontId="3" numFmtId="0" xfId="0" applyFill="1" applyFont="1"/>
    <xf borderId="0" fillId="0" fontId="4" numFmtId="0" xfId="0" applyAlignment="1" applyFont="1">
      <alignment readingOrder="0" shrinkToFit="0" vertical="center" wrapText="1"/>
    </xf>
    <xf borderId="0" fillId="16" fontId="9" numFmtId="0" xfId="0" applyAlignment="1" applyFont="1">
      <alignment horizontal="center"/>
    </xf>
    <xf borderId="0" fillId="0" fontId="19" numFmtId="0" xfId="0" applyAlignment="1" applyFont="1">
      <alignment readingOrder="0"/>
    </xf>
    <xf borderId="0" fillId="16" fontId="9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horizontal="right" readingOrder="0" shrinkToFit="0" wrapText="1"/>
    </xf>
    <xf borderId="0" fillId="16" fontId="9" numFmtId="0" xfId="0" applyAlignment="1" applyFont="1">
      <alignment horizontal="left" readingOrder="0" vertical="center"/>
    </xf>
    <xf borderId="0" fillId="0" fontId="19" numFmtId="0" xfId="0" applyAlignment="1" applyFont="1">
      <alignment shrinkToFit="0" wrapText="1"/>
    </xf>
    <xf borderId="0" fillId="0" fontId="9" numFmtId="0" xfId="0" applyAlignment="1" applyFont="1">
      <alignment vertical="center"/>
    </xf>
    <xf borderId="0" fillId="0" fontId="19" numFmtId="0" xfId="0" applyAlignment="1" applyFont="1">
      <alignment horizontal="left" readingOrder="0"/>
    </xf>
    <xf borderId="0" fillId="0" fontId="4" numFmtId="49" xfId="0" applyAlignment="1" applyFont="1" applyNumberFormat="1">
      <alignment readingOrder="0" shrinkToFit="0" vertical="center" wrapText="1"/>
    </xf>
    <xf borderId="0" fillId="0" fontId="19" numFmtId="0" xfId="0" applyAlignment="1" applyFont="1">
      <alignment horizontal="left"/>
    </xf>
    <xf borderId="0" fillId="0" fontId="4" numFmtId="166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right"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6" Type="http://schemas.openxmlformats.org/officeDocument/2006/relationships/worksheet" Target="worksheets/sheet2.xml" /></ns0: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1533525</xdr:colOff>
      <xdr:row>24</xdr:row>
      <xdr:rowOff>85725</xdr:rowOff>
    </xdr:from>
    <xdr:ext cx="1952625" cy="17049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04800" cy="171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3.38"/>
    <col customWidth="1" min="3" max="3" width="3.5"/>
    <col customWidth="1" min="4" max="4" width="20.88"/>
    <col customWidth="1" min="5" max="5" width="7.13"/>
    <col customWidth="1" min="6" max="6" width="6.5"/>
    <col customWidth="1" min="7" max="7" width="11.13"/>
    <col customWidth="1" min="8" max="8" width="12.88"/>
    <col customWidth="1" min="9" max="9" width="12.38"/>
  </cols>
  <sheetData>
    <row r="1">
      <c r="A1" s="6"/>
    </row>
    <row r="2">
      <c r="E2" s="9"/>
      <c r="F2" s="11"/>
      <c r="G2" s="11"/>
      <c r="H2" s="11"/>
      <c r="I2" s="11" t="s">
        <v>9</v>
      </c>
    </row>
    <row r="3">
      <c r="E3" s="17" t="s">
        <v>10</v>
      </c>
    </row>
    <row r="4">
      <c r="E4" s="20"/>
      <c r="F4" s="21"/>
      <c r="G4" s="17"/>
      <c r="H4" s="20"/>
      <c r="I4" s="23" t="s">
        <v>15</v>
      </c>
    </row>
    <row r="5">
      <c r="A5" s="6"/>
      <c r="B5" s="6"/>
      <c r="C5" s="6"/>
      <c r="D5" s="6"/>
      <c r="E5" s="25"/>
      <c r="F5" s="25"/>
      <c r="G5" s="27"/>
      <c r="H5" s="27"/>
      <c r="I5" s="27"/>
    </row>
    <row r="6">
      <c r="A6" s="6"/>
      <c r="B6" s="6"/>
      <c r="C6" s="6"/>
      <c r="D6" s="6"/>
      <c r="E6" s="6"/>
      <c r="F6" s="6"/>
      <c r="G6" s="6"/>
      <c r="H6" s="6"/>
      <c r="I6" s="6"/>
    </row>
    <row r="7">
      <c r="A7" s="30" t="s">
        <v>17</v>
      </c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33" t="s">
        <v>19</v>
      </c>
      <c r="I9" s="36">
        <f>TODAY()</f>
        <v>46252</v>
      </c>
    </row>
    <row r="10">
      <c r="A10" s="38" t="s">
        <v>20</v>
      </c>
      <c r="B10" s="40" t="s">
        <v>26</v>
      </c>
      <c r="C10" s="41"/>
      <c r="D10" s="41"/>
      <c r="E10" s="38" t="s">
        <v>27</v>
      </c>
      <c r="F10" s="44" t="s">
        <v>28</v>
      </c>
      <c r="G10" s="44" t="s">
        <v>29</v>
      </c>
      <c r="H10" s="44" t="s">
        <v>30</v>
      </c>
      <c r="I10" s="44" t="s">
        <v>31</v>
      </c>
    </row>
    <row r="11">
      <c r="A11" s="45">
        <v>1.0</v>
      </c>
      <c r="B11" s="47" t="str">
        <f>'Бюджетирование'!D7</f>
        <v/>
      </c>
      <c r="C11" s="48"/>
      <c r="D11" s="49"/>
      <c r="E11" s="51" t="str">
        <f>'Бюджетирование'!E7</f>
        <v/>
      </c>
      <c r="F11" s="53" t="s">
        <v>32</v>
      </c>
      <c r="G11" s="55">
        <f>'Бюджетирование'!K7</f>
        <v>1.1</v>
      </c>
      <c r="H11" s="55">
        <f>'Бюджетирование'!M7</f>
        <v>1.1</v>
      </c>
      <c r="I11" s="56" t="s">
        <v>34</v>
      </c>
    </row>
    <row r="12">
      <c r="A12" s="57">
        <v>2.0</v>
      </c>
      <c r="B12" s="47" t="str">
        <f>'Бюджетирование'!D8</f>
        <v/>
      </c>
      <c r="C12" s="48"/>
      <c r="D12" s="49"/>
      <c r="E12" s="51" t="str">
        <f>'Бюджетирование'!E8</f>
        <v/>
      </c>
      <c r="F12" s="53" t="s">
        <v>32</v>
      </c>
      <c r="G12" s="55">
        <f>'Бюджетирование'!K8</f>
        <v>1.1</v>
      </c>
      <c r="H12" s="55">
        <f>'Бюджетирование'!M8</f>
        <v>1.1</v>
      </c>
      <c r="I12" s="66"/>
    </row>
    <row r="13">
      <c r="A13" s="45">
        <v>3.0</v>
      </c>
      <c r="B13" s="47" t="str">
        <f>'Бюджетирование'!D9</f>
        <v/>
      </c>
      <c r="C13" s="48"/>
      <c r="D13" s="49"/>
      <c r="E13" s="51" t="str">
        <f>'Бюджетирование'!E9</f>
        <v/>
      </c>
      <c r="F13" s="53" t="s">
        <v>32</v>
      </c>
      <c r="G13" s="55">
        <f>'Бюджетирование'!K9</f>
        <v>1.1</v>
      </c>
      <c r="H13" s="55">
        <f>'Бюджетирование'!M9</f>
        <v>1.1</v>
      </c>
      <c r="I13" s="66"/>
    </row>
    <row r="14">
      <c r="A14" s="57">
        <v>4.0</v>
      </c>
      <c r="B14" s="47" t="str">
        <f>'Бюджетирование'!D10</f>
        <v/>
      </c>
      <c r="C14" s="48"/>
      <c r="D14" s="49"/>
      <c r="E14" s="51" t="str">
        <f>'Бюджетирование'!E10</f>
        <v/>
      </c>
      <c r="F14" s="53" t="s">
        <v>32</v>
      </c>
      <c r="G14" s="55">
        <f>'Бюджетирование'!K10</f>
        <v>1.1</v>
      </c>
      <c r="H14" s="55">
        <f>'Бюджетирование'!M10</f>
        <v>1.1</v>
      </c>
      <c r="I14" s="74"/>
    </row>
    <row r="15">
      <c r="A15" s="78"/>
      <c r="B15" s="80"/>
      <c r="C15" s="80"/>
      <c r="D15" s="80"/>
      <c r="E15" s="80"/>
      <c r="F15" s="80"/>
      <c r="G15" s="80"/>
      <c r="H15" s="80"/>
      <c r="I15" s="82"/>
    </row>
    <row r="16">
      <c r="A16" s="83"/>
      <c r="B16" s="84"/>
      <c r="C16" s="84"/>
      <c r="D16" s="84"/>
      <c r="E16" s="84"/>
      <c r="F16" s="84"/>
      <c r="G16" s="84" t="s">
        <v>47</v>
      </c>
      <c r="H16" s="86">
        <f>'Бюджетирование'!L4</f>
        <v>0</v>
      </c>
      <c r="I16" s="6"/>
    </row>
    <row r="17">
      <c r="A17" s="83"/>
      <c r="B17" s="88"/>
      <c r="C17" s="88"/>
      <c r="D17" s="88"/>
      <c r="E17" s="88"/>
      <c r="F17" s="88"/>
      <c r="G17" s="89" t="s">
        <v>50</v>
      </c>
      <c r="H17" s="91">
        <f>'Бюджетирование'!K4</f>
        <v>0</v>
      </c>
      <c r="I17" s="6"/>
    </row>
    <row r="18">
      <c r="A18" s="83"/>
      <c r="B18" s="88"/>
      <c r="C18" s="88"/>
      <c r="D18" s="88"/>
      <c r="E18" s="88"/>
      <c r="F18" s="88"/>
      <c r="G18" s="88" t="s">
        <v>55</v>
      </c>
      <c r="H18" s="86">
        <f>'Бюджетирование'!M4</f>
        <v>0</v>
      </c>
      <c r="I18" s="93" t="s">
        <v>56</v>
      </c>
    </row>
    <row r="19">
      <c r="A19" s="83"/>
      <c r="B19" s="88"/>
      <c r="C19" s="88"/>
      <c r="D19" s="88"/>
      <c r="E19" s="88"/>
      <c r="F19" s="88"/>
      <c r="G19" s="88"/>
      <c r="H19" s="86"/>
      <c r="I19" s="93"/>
    </row>
    <row r="20">
      <c r="A20" s="95" t="s">
        <v>58</v>
      </c>
      <c r="B20" s="97"/>
      <c r="C20" s="98" t="s">
        <v>60</v>
      </c>
      <c r="D20" s="95" t="s">
        <v>62</v>
      </c>
      <c r="E20" s="100"/>
      <c r="F20" s="100"/>
      <c r="G20" s="100"/>
      <c r="H20" s="100"/>
      <c r="I20" s="100"/>
    </row>
    <row r="21">
      <c r="A21" s="102" t="s">
        <v>63</v>
      </c>
      <c r="B21" s="104"/>
      <c r="C21" s="98" t="s">
        <v>60</v>
      </c>
      <c r="D21" s="105">
        <f>TODAY()+2</f>
        <v>46254</v>
      </c>
      <c r="E21" s="100"/>
      <c r="F21" s="100"/>
      <c r="G21" s="100"/>
      <c r="H21" s="100"/>
      <c r="I21" s="100"/>
    </row>
    <row r="22">
      <c r="A22" s="106"/>
      <c r="B22" s="106"/>
      <c r="C22" s="107"/>
      <c r="D22" s="108"/>
      <c r="E22" s="6"/>
      <c r="F22" s="6"/>
      <c r="G22" s="6"/>
      <c r="H22" s="6"/>
      <c r="I22" s="6"/>
    </row>
    <row r="23">
      <c r="A23" s="109" t="s">
        <v>64</v>
      </c>
      <c r="B23" s="106"/>
      <c r="C23" s="107"/>
      <c r="D23" s="108"/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6"/>
      <c r="D25" s="6"/>
      <c r="E25" s="6"/>
      <c r="F25" s="6"/>
      <c r="G25" s="6"/>
      <c r="H25" s="6"/>
      <c r="I25" s="6"/>
    </row>
    <row r="26">
      <c r="A26" s="6"/>
      <c r="B26" s="6"/>
      <c r="C26" s="6"/>
      <c r="D26" s="6"/>
      <c r="E26" s="6"/>
      <c r="F26" s="6"/>
      <c r="G26" s="6"/>
      <c r="H26" s="6"/>
      <c r="I26" s="6"/>
    </row>
    <row r="27">
      <c r="A27" s="6"/>
      <c r="B27" s="6"/>
      <c r="C27" s="6"/>
      <c r="D27" s="6"/>
      <c r="E27" s="6"/>
      <c r="F27" s="6"/>
      <c r="G27" s="6"/>
      <c r="H27" s="6"/>
      <c r="I27" s="6"/>
    </row>
    <row r="28">
      <c r="A28" s="110" t="s">
        <v>65</v>
      </c>
      <c r="B28" s="110"/>
      <c r="C28" s="110"/>
      <c r="D28" s="110"/>
      <c r="E28" s="6"/>
      <c r="F28" s="6"/>
      <c r="G28" s="6"/>
      <c r="H28" s="6"/>
      <c r="I28" s="73" t="s">
        <v>66</v>
      </c>
    </row>
  </sheetData>
  <mergeCells count="9">
    <mergeCell ref="B13:D13"/>
    <mergeCell ref="B14:D14"/>
    <mergeCell ref="A1:D4"/>
    <mergeCell ref="E3:I3"/>
    <mergeCell ref="A7:I7"/>
    <mergeCell ref="B10:D10"/>
    <mergeCell ref="B11:D11"/>
    <mergeCell ref="I11:I14"/>
    <mergeCell ref="B12:D12"/>
  </mergeCells>
  <printOptions horizontalCentered="1"/>
  <pageMargins bottom="0.75" footer="0.0" header="0.0" left="0.25" right="0.25" top="0.75"/>
  <pageSetup paperSize="9" orientation="portrait" pageOrder="overThenDown"/>
  <drawing ns1:id="rId1"/>
</worksheet>
</file>